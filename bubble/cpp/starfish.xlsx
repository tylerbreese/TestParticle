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breese/Desktop/"/>
    </mc:Choice>
  </mc:AlternateContent>
  <xr:revisionPtr revIDLastSave="0" documentId="13_ncr:1_{3EE179D6-8714-CF4C-8182-83686D95A231}" xr6:coauthVersionLast="47" xr6:coauthVersionMax="47" xr10:uidLastSave="{00000000-0000-0000-0000-000000000000}"/>
  <bookViews>
    <workbookView xWindow="680" yWindow="760" windowWidth="28040" windowHeight="16820" activeTab="1" xr2:uid="{B24C755F-2F81-F947-AE6B-BB6BEF4F061E}"/>
  </bookViews>
  <sheets>
    <sheet name="GSCENARIO" sheetId="1" r:id="rId1"/>
    <sheet name="Derived" sheetId="2" r:id="rId2"/>
    <sheet name="Sheet3" sheetId="3" r:id="rId3"/>
  </sheets>
  <definedNames>
    <definedName name="table2" localSheetId="2">Sheet3!$A$1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C20" i="2"/>
  <c r="J3" i="3"/>
  <c r="J4" i="3"/>
  <c r="J5" i="3"/>
  <c r="J2" i="3"/>
  <c r="I4" i="3"/>
  <c r="I5" i="3"/>
  <c r="I3" i="3"/>
  <c r="I2" i="3"/>
  <c r="H4" i="3"/>
  <c r="H5" i="3"/>
  <c r="H3" i="3"/>
  <c r="G3" i="3"/>
  <c r="G4" i="3"/>
  <c r="G5" i="3"/>
  <c r="G2" i="3"/>
  <c r="U19" i="2"/>
  <c r="U3" i="2"/>
  <c r="W3" i="2" s="1"/>
  <c r="U4" i="2"/>
  <c r="W4" i="2" s="1"/>
  <c r="U5" i="2"/>
  <c r="W5" i="2" s="1"/>
  <c r="U6" i="2"/>
  <c r="W6" i="2" s="1"/>
  <c r="U7" i="2"/>
  <c r="W7" i="2" s="1"/>
  <c r="U8" i="2"/>
  <c r="W8" i="2" s="1"/>
  <c r="U9" i="2"/>
  <c r="W9" i="2" s="1"/>
  <c r="U10" i="2"/>
  <c r="W10" i="2" s="1"/>
  <c r="U11" i="2"/>
  <c r="W11" i="2" s="1"/>
  <c r="U12" i="2"/>
  <c r="W12" i="2" s="1"/>
  <c r="U13" i="2"/>
  <c r="W13" i="2" s="1"/>
  <c r="U14" i="2"/>
  <c r="W14" i="2" s="1"/>
  <c r="U15" i="2"/>
  <c r="W15" i="2" s="1"/>
  <c r="U16" i="2"/>
  <c r="W16" i="2" s="1"/>
  <c r="U17" i="2"/>
  <c r="W17" i="2" s="1"/>
  <c r="U2" i="2"/>
  <c r="W2" i="2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2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2" i="2"/>
  <c r="M2" i="2" s="1"/>
  <c r="A2" i="3"/>
  <c r="A3" i="3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2" i="2"/>
  <c r="B3" i="1"/>
  <c r="P3" i="2" s="1"/>
  <c r="B4" i="1"/>
  <c r="P4" i="2" s="1"/>
  <c r="B5" i="1"/>
  <c r="P5" i="2" s="1"/>
  <c r="B6" i="1"/>
  <c r="P6" i="2" s="1"/>
  <c r="B7" i="1"/>
  <c r="P7" i="2" s="1"/>
  <c r="B8" i="1"/>
  <c r="P8" i="2" s="1"/>
  <c r="B9" i="1"/>
  <c r="P9" i="2" s="1"/>
  <c r="B10" i="1"/>
  <c r="P10" i="2" s="1"/>
  <c r="B11" i="1"/>
  <c r="P11" i="2" s="1"/>
  <c r="B12" i="1"/>
  <c r="P12" i="2" s="1"/>
  <c r="B13" i="1"/>
  <c r="P13" i="2" s="1"/>
  <c r="B14" i="1"/>
  <c r="P14" i="2" s="1"/>
  <c r="B15" i="1"/>
  <c r="P15" i="2" s="1"/>
  <c r="B16" i="1"/>
  <c r="P16" i="2" s="1"/>
  <c r="B17" i="1"/>
  <c r="P17" i="2" s="1"/>
  <c r="B2" i="1"/>
  <c r="P2" i="2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E2" i="1"/>
  <c r="V3" i="2" l="1"/>
  <c r="I3" i="2"/>
  <c r="H3" i="2"/>
  <c r="I4" i="2"/>
  <c r="H4" i="2"/>
  <c r="I5" i="2"/>
  <c r="H5" i="2"/>
  <c r="I6" i="2"/>
  <c r="H6" i="2"/>
  <c r="I7" i="2"/>
  <c r="H7" i="2"/>
  <c r="I8" i="2"/>
  <c r="H8" i="2"/>
  <c r="I9" i="2"/>
  <c r="H9" i="2"/>
  <c r="I10" i="2"/>
  <c r="H10" i="2"/>
  <c r="I11" i="2"/>
  <c r="H11" i="2"/>
  <c r="I12" i="2"/>
  <c r="H12" i="2"/>
  <c r="I13" i="2"/>
  <c r="H13" i="2"/>
  <c r="I14" i="2"/>
  <c r="H14" i="2"/>
  <c r="I15" i="2"/>
  <c r="H15" i="2"/>
  <c r="I16" i="2"/>
  <c r="H16" i="2"/>
  <c r="I17" i="2"/>
  <c r="H17" i="2"/>
  <c r="I2" i="2"/>
  <c r="H2" i="2"/>
  <c r="J4" i="2"/>
  <c r="R4" i="2" s="1"/>
  <c r="V4" i="2" s="1"/>
  <c r="K4" i="2"/>
  <c r="S4" i="2" s="1"/>
  <c r="K5" i="2"/>
  <c r="S5" i="2" s="1"/>
  <c r="J5" i="2"/>
  <c r="R5" i="2" s="1"/>
  <c r="V5" i="2" s="1"/>
  <c r="J6" i="2"/>
  <c r="R6" i="2" s="1"/>
  <c r="V6" i="2" s="1"/>
  <c r="K6" i="2"/>
  <c r="S6" i="2" s="1"/>
  <c r="K7" i="2"/>
  <c r="S7" i="2" s="1"/>
  <c r="J7" i="2"/>
  <c r="R7" i="2" s="1"/>
  <c r="V7" i="2" s="1"/>
  <c r="K8" i="2"/>
  <c r="S8" i="2" s="1"/>
  <c r="J8" i="2"/>
  <c r="R8" i="2" s="1"/>
  <c r="V8" i="2" s="1"/>
  <c r="K9" i="2"/>
  <c r="S9" i="2" s="1"/>
  <c r="J9" i="2"/>
  <c r="R9" i="2" s="1"/>
  <c r="V9" i="2" s="1"/>
  <c r="K10" i="2"/>
  <c r="S10" i="2" s="1"/>
  <c r="J10" i="2"/>
  <c r="R10" i="2" s="1"/>
  <c r="V10" i="2" s="1"/>
  <c r="K11" i="2"/>
  <c r="S11" i="2" s="1"/>
  <c r="J11" i="2"/>
  <c r="R11" i="2" s="1"/>
  <c r="V11" i="2" s="1"/>
  <c r="K12" i="2"/>
  <c r="S12" i="2" s="1"/>
  <c r="J12" i="2"/>
  <c r="R12" i="2" s="1"/>
  <c r="V12" i="2" s="1"/>
  <c r="K13" i="2"/>
  <c r="S13" i="2" s="1"/>
  <c r="J13" i="2"/>
  <c r="R13" i="2" s="1"/>
  <c r="V13" i="2" s="1"/>
  <c r="J14" i="2"/>
  <c r="R14" i="2" s="1"/>
  <c r="V14" i="2" s="1"/>
  <c r="K14" i="2"/>
  <c r="S14" i="2" s="1"/>
  <c r="K15" i="2"/>
  <c r="S15" i="2" s="1"/>
  <c r="J15" i="2"/>
  <c r="R15" i="2" s="1"/>
  <c r="V15" i="2" s="1"/>
  <c r="J16" i="2"/>
  <c r="R16" i="2" s="1"/>
  <c r="V16" i="2" s="1"/>
  <c r="K16" i="2"/>
  <c r="S16" i="2" s="1"/>
  <c r="J17" i="2"/>
  <c r="R17" i="2" s="1"/>
  <c r="V17" i="2" s="1"/>
  <c r="K17" i="2"/>
  <c r="S17" i="2" s="1"/>
  <c r="K3" i="2"/>
  <c r="S3" i="2" s="1"/>
  <c r="J3" i="2"/>
  <c r="R3" i="2" s="1"/>
  <c r="K2" i="2"/>
  <c r="S2" i="2" s="1"/>
  <c r="T2" i="2" s="1"/>
  <c r="V2" i="2" s="1"/>
  <c r="J2" i="2"/>
  <c r="R2" i="2" s="1"/>
</calcChain>
</file>

<file path=xl/sharedStrings.xml><?xml version="1.0" encoding="utf-8"?>
<sst xmlns="http://schemas.openxmlformats.org/spreadsheetml/2006/main" count="46" uniqueCount="44">
  <si>
    <t>Time</t>
  </si>
  <si>
    <t>Debris Ion Number Density</t>
  </si>
  <si>
    <t>Electron Number Density</t>
  </si>
  <si>
    <t>Ion Temperature</t>
  </si>
  <si>
    <t>Neutral Number Density</t>
  </si>
  <si>
    <t>Ion Number Density</t>
  </si>
  <si>
    <t>Neutral Temperature</t>
  </si>
  <si>
    <t>Electron Temperature</t>
  </si>
  <si>
    <t>Ion-Neutral Collision Frequency</t>
  </si>
  <si>
    <t>assumes A=Z=100</t>
  </si>
  <si>
    <t>B = 0.3 G</t>
  </si>
  <si>
    <t>Debris Ion Gyrofrequency</t>
  </si>
  <si>
    <t>Debris Ion Plasma Frequency</t>
  </si>
  <si>
    <t>Electron Gyrofrequency</t>
  </si>
  <si>
    <t>Electron Plasma Frequency</t>
  </si>
  <si>
    <t>Debris Ion Gyroradius</t>
  </si>
  <si>
    <t>Electron Gyroradius</t>
  </si>
  <si>
    <t>Electron-Electron Collision Frequency</t>
  </si>
  <si>
    <t>Electron-Neutral Frequency</t>
  </si>
  <si>
    <t>kg</t>
  </si>
  <si>
    <t>m3</t>
  </si>
  <si>
    <t>kmol</t>
  </si>
  <si>
    <t>Coulomb Logarithm</t>
  </si>
  <si>
    <t>Debye Length</t>
  </si>
  <si>
    <t>neutral density * sigma * electron thermal speed</t>
  </si>
  <si>
    <t>neutral density * sigma * ion thermal speed</t>
  </si>
  <si>
    <t>calculated based on electrons</t>
  </si>
  <si>
    <t>Ion-Ion Collision Frequency</t>
  </si>
  <si>
    <t>Electron Thermal Velocity</t>
  </si>
  <si>
    <t>Debris Ion Thermal Veolcity</t>
  </si>
  <si>
    <t>Alfven Velocity</t>
  </si>
  <si>
    <t>Plasma Beta</t>
  </si>
  <si>
    <t>used electron temps</t>
  </si>
  <si>
    <t>Electron Mean Free Path (Collisions)</t>
  </si>
  <si>
    <t>Parallel Reynolds Number</t>
  </si>
  <si>
    <t>Perpendicular Reynolds Number</t>
  </si>
  <si>
    <t>Parallel Viscosity</t>
  </si>
  <si>
    <t>Perpendicular Viscosity</t>
  </si>
  <si>
    <t>Ion Mean Free Path (Collisions)</t>
  </si>
  <si>
    <t>r</t>
  </si>
  <si>
    <t>u</t>
  </si>
  <si>
    <t>r2u</t>
  </si>
  <si>
    <t>du</t>
  </si>
  <si>
    <t>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</si>
</sst>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571500</xdr:colOff>
      <xdr:row>21</xdr:row>
      <xdr:rowOff>165100</xdr:rowOff>
    </xdr:from>
    <xdr:to>
      <xdr:col>18</xdr:col>
      <xdr:colOff>1752600</xdr:colOff>
      <xdr:row>62</xdr:row>
      <xdr:rowOff>0</xdr:rowOff>
    </xdr:to>
    <xdr:pic>
      <xdr:nvPicPr>
        <xdr:cNvPr id="2" name="Picture 1" descr="undefined">
          <a:extLst>
            <a:ext uri="{FF2B5EF4-FFF2-40B4-BE49-F238E27FC236}">
              <a16:creationId xmlns:a16="http://schemas.microsoft.com/office/drawing/2014/main" id="{8CA71B68-8B64-2AA8-88D6-BCC21B244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7600" y="4432300"/>
          <a:ext cx="5029200" cy="816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B89A-93D4-4D45-8D28-1260D1B1D3F9}">
  <dimension ref="A1:H17"/>
  <sheetViews>
    <sheetView workbookViewId="0">
      <selection activeCell="J14" sqref="J14"/>
    </sheetView>
  </sheetViews>
  <sheetFormatPr baseColWidth="10" defaultRowHeight="16" x14ac:dyDescent="0.2"/>
  <cols>
    <col min="2" max="2" width="17.1640625" bestFit="1" customWidth="1"/>
    <col min="3" max="3" width="23" bestFit="1" customWidth="1"/>
    <col min="4" max="4" width="21.6640625" bestFit="1" customWidth="1"/>
    <col min="5" max="5" width="21.6640625" customWidth="1"/>
    <col min="6" max="6" width="14.33203125" bestFit="1" customWidth="1"/>
    <col min="7" max="7" width="18.1640625" bestFit="1" customWidth="1"/>
    <col min="8" max="8" width="18.83203125" bestFit="1" customWidth="1"/>
  </cols>
  <sheetData>
    <row r="1" spans="1:8" x14ac:dyDescent="0.2">
      <c r="A1" t="s">
        <v>0</v>
      </c>
      <c r="B1" t="s">
        <v>5</v>
      </c>
      <c r="C1" t="s">
        <v>1</v>
      </c>
      <c r="D1" t="s">
        <v>2</v>
      </c>
      <c r="E1" t="s">
        <v>4</v>
      </c>
      <c r="F1" t="s">
        <v>3</v>
      </c>
      <c r="G1" t="s">
        <v>6</v>
      </c>
      <c r="H1" t="s">
        <v>7</v>
      </c>
    </row>
    <row r="2" spans="1:8" x14ac:dyDescent="0.2">
      <c r="A2">
        <v>0</v>
      </c>
      <c r="B2" s="1">
        <f>500000000</f>
        <v>500000000</v>
      </c>
      <c r="C2" s="1">
        <v>621</v>
      </c>
      <c r="D2" s="1">
        <v>695000000</v>
      </c>
      <c r="E2">
        <f>23000000000+375000000000</f>
        <v>398000000000</v>
      </c>
      <c r="F2" s="1">
        <v>136000</v>
      </c>
      <c r="G2" s="1">
        <v>136000</v>
      </c>
      <c r="H2" s="1">
        <v>3320000</v>
      </c>
    </row>
    <row r="3" spans="1:8" x14ac:dyDescent="0.2">
      <c r="A3">
        <v>0.01</v>
      </c>
      <c r="B3" s="1">
        <f t="shared" ref="B3:B17" si="0">500000000</f>
        <v>500000000</v>
      </c>
      <c r="C3" s="1">
        <v>621</v>
      </c>
      <c r="D3" s="1">
        <v>1000000000</v>
      </c>
      <c r="E3">
        <f>23000000000+375000000000</f>
        <v>398000000000</v>
      </c>
      <c r="F3" s="1">
        <v>136000</v>
      </c>
      <c r="G3" s="1">
        <v>136000</v>
      </c>
      <c r="H3" s="1">
        <v>311000</v>
      </c>
    </row>
    <row r="4" spans="1:8" x14ac:dyDescent="0.2">
      <c r="A4">
        <v>0.05</v>
      </c>
      <c r="B4" s="1">
        <f t="shared" si="0"/>
        <v>500000000</v>
      </c>
      <c r="C4" s="1">
        <v>621</v>
      </c>
      <c r="D4" s="1">
        <v>1000000000</v>
      </c>
      <c r="E4">
        <f t="shared" ref="E4:E17" si="1">23000000000+375000000000</f>
        <v>398000000000</v>
      </c>
      <c r="F4" s="1">
        <v>136000</v>
      </c>
      <c r="G4" s="1">
        <v>136000</v>
      </c>
      <c r="H4" s="1">
        <v>292000</v>
      </c>
    </row>
    <row r="5" spans="1:8" x14ac:dyDescent="0.2">
      <c r="A5">
        <v>0.1</v>
      </c>
      <c r="B5" s="1">
        <f t="shared" si="0"/>
        <v>500000000</v>
      </c>
      <c r="C5" s="1">
        <v>621</v>
      </c>
      <c r="D5" s="1">
        <v>1000000000</v>
      </c>
      <c r="E5">
        <f t="shared" si="1"/>
        <v>398000000000</v>
      </c>
      <c r="F5" s="1">
        <v>136000</v>
      </c>
      <c r="G5" s="1">
        <v>136000</v>
      </c>
      <c r="H5" s="1">
        <v>272000</v>
      </c>
    </row>
    <row r="6" spans="1:8" x14ac:dyDescent="0.2">
      <c r="A6">
        <v>0.3</v>
      </c>
      <c r="B6" s="1">
        <f t="shared" si="0"/>
        <v>500000000</v>
      </c>
      <c r="C6" s="1">
        <v>621</v>
      </c>
      <c r="D6" s="1">
        <v>1000000000</v>
      </c>
      <c r="E6">
        <f t="shared" si="1"/>
        <v>398000000000</v>
      </c>
      <c r="F6" s="1">
        <v>136000</v>
      </c>
      <c r="G6" s="1">
        <v>136000</v>
      </c>
      <c r="H6" s="1">
        <v>260000</v>
      </c>
    </row>
    <row r="7" spans="1:8" x14ac:dyDescent="0.2">
      <c r="A7">
        <v>0.5</v>
      </c>
      <c r="B7" s="1">
        <f t="shared" si="0"/>
        <v>500000000</v>
      </c>
      <c r="C7" s="1">
        <v>621</v>
      </c>
      <c r="D7" s="1">
        <v>1000000000</v>
      </c>
      <c r="E7">
        <f t="shared" si="1"/>
        <v>398000000000</v>
      </c>
      <c r="F7" s="1">
        <v>136000</v>
      </c>
      <c r="G7" s="1">
        <v>136000</v>
      </c>
      <c r="H7" s="1">
        <v>243000</v>
      </c>
    </row>
    <row r="8" spans="1:8" x14ac:dyDescent="0.2">
      <c r="A8">
        <v>1</v>
      </c>
      <c r="B8" s="1">
        <f t="shared" si="0"/>
        <v>500000000</v>
      </c>
      <c r="C8" s="1">
        <v>628</v>
      </c>
      <c r="D8" s="1">
        <v>1000000000</v>
      </c>
      <c r="E8">
        <f t="shared" si="1"/>
        <v>398000000000</v>
      </c>
      <c r="F8" s="1">
        <v>136000</v>
      </c>
      <c r="G8" s="1">
        <v>136000</v>
      </c>
      <c r="H8" s="1">
        <v>220000</v>
      </c>
    </row>
    <row r="9" spans="1:8" x14ac:dyDescent="0.2">
      <c r="A9">
        <v>2</v>
      </c>
      <c r="B9" s="1">
        <f t="shared" si="0"/>
        <v>500000000</v>
      </c>
      <c r="C9" s="1">
        <v>641</v>
      </c>
      <c r="D9" s="1">
        <v>1000000000</v>
      </c>
      <c r="E9">
        <f t="shared" si="1"/>
        <v>398000000000</v>
      </c>
      <c r="F9" s="1">
        <v>136000</v>
      </c>
      <c r="G9" s="1">
        <v>136000</v>
      </c>
      <c r="H9" s="1">
        <v>100000</v>
      </c>
    </row>
    <row r="10" spans="1:8" x14ac:dyDescent="0.2">
      <c r="A10">
        <v>3</v>
      </c>
      <c r="B10" s="1">
        <f t="shared" si="0"/>
        <v>500000000</v>
      </c>
      <c r="C10" s="1">
        <v>662</v>
      </c>
      <c r="D10" s="1">
        <v>1000000000</v>
      </c>
      <c r="E10">
        <f t="shared" si="1"/>
        <v>398000000000</v>
      </c>
      <c r="F10" s="1">
        <v>136000</v>
      </c>
      <c r="G10" s="1">
        <v>136000</v>
      </c>
      <c r="H10" s="1">
        <v>100000</v>
      </c>
    </row>
    <row r="11" spans="1:8" x14ac:dyDescent="0.2">
      <c r="A11">
        <v>4</v>
      </c>
      <c r="B11" s="1">
        <f t="shared" si="0"/>
        <v>500000000</v>
      </c>
      <c r="C11" s="1">
        <v>687</v>
      </c>
      <c r="D11" s="1">
        <v>1000000000</v>
      </c>
      <c r="E11">
        <f t="shared" si="1"/>
        <v>398000000000</v>
      </c>
      <c r="F11" s="1">
        <v>136000</v>
      </c>
      <c r="G11" s="1">
        <v>136000</v>
      </c>
      <c r="H11" s="1">
        <v>100000</v>
      </c>
    </row>
    <row r="12" spans="1:8" x14ac:dyDescent="0.2">
      <c r="A12">
        <v>5</v>
      </c>
      <c r="B12" s="1">
        <f t="shared" si="0"/>
        <v>500000000</v>
      </c>
      <c r="C12" s="1">
        <v>717</v>
      </c>
      <c r="D12" s="1">
        <v>1000000000</v>
      </c>
      <c r="E12">
        <f t="shared" si="1"/>
        <v>398000000000</v>
      </c>
      <c r="F12" s="1">
        <v>136000</v>
      </c>
      <c r="G12" s="1">
        <v>136000</v>
      </c>
      <c r="H12" s="1">
        <v>100000</v>
      </c>
    </row>
    <row r="13" spans="1:8" x14ac:dyDescent="0.2">
      <c r="A13">
        <v>6</v>
      </c>
      <c r="B13" s="1">
        <f t="shared" si="0"/>
        <v>500000000</v>
      </c>
      <c r="C13" s="1">
        <v>750</v>
      </c>
      <c r="D13" s="1">
        <v>1000000000</v>
      </c>
      <c r="E13">
        <f t="shared" si="1"/>
        <v>398000000000</v>
      </c>
      <c r="F13" s="1">
        <v>136000</v>
      </c>
      <c r="G13" s="1">
        <v>136000</v>
      </c>
      <c r="H13" s="1">
        <v>100000</v>
      </c>
    </row>
    <row r="14" spans="1:8" x14ac:dyDescent="0.2">
      <c r="A14">
        <v>7</v>
      </c>
      <c r="B14" s="1">
        <f t="shared" si="0"/>
        <v>500000000</v>
      </c>
      <c r="C14" s="1">
        <v>783</v>
      </c>
      <c r="D14" s="1">
        <v>1000000000</v>
      </c>
      <c r="E14">
        <f t="shared" si="1"/>
        <v>398000000000</v>
      </c>
      <c r="F14" s="1">
        <v>136000</v>
      </c>
      <c r="G14" s="1">
        <v>136000</v>
      </c>
      <c r="H14" s="1">
        <v>100000</v>
      </c>
    </row>
    <row r="15" spans="1:8" x14ac:dyDescent="0.2">
      <c r="A15">
        <v>8</v>
      </c>
      <c r="B15" s="1">
        <f t="shared" si="0"/>
        <v>500000000</v>
      </c>
      <c r="C15" s="1">
        <v>814</v>
      </c>
      <c r="D15" s="1">
        <v>1000000000</v>
      </c>
      <c r="E15">
        <f t="shared" si="1"/>
        <v>398000000000</v>
      </c>
      <c r="F15" s="1">
        <v>136000</v>
      </c>
      <c r="G15" s="1">
        <v>136000</v>
      </c>
      <c r="H15" s="1">
        <v>100000</v>
      </c>
    </row>
    <row r="16" spans="1:8" x14ac:dyDescent="0.2">
      <c r="A16">
        <v>9</v>
      </c>
      <c r="B16" s="1">
        <f t="shared" si="0"/>
        <v>500000000</v>
      </c>
      <c r="C16" s="1">
        <v>814</v>
      </c>
      <c r="D16" s="1">
        <v>1000000000</v>
      </c>
      <c r="E16">
        <f t="shared" si="1"/>
        <v>398000000000</v>
      </c>
      <c r="F16" s="1">
        <v>136000</v>
      </c>
      <c r="G16" s="1">
        <v>136000</v>
      </c>
      <c r="H16" s="1">
        <v>100000</v>
      </c>
    </row>
    <row r="17" spans="1:8" x14ac:dyDescent="0.2">
      <c r="A17">
        <v>10</v>
      </c>
      <c r="B17" s="1">
        <f t="shared" si="0"/>
        <v>500000000</v>
      </c>
      <c r="C17" s="1">
        <v>814</v>
      </c>
      <c r="D17" s="1">
        <v>1000000000</v>
      </c>
      <c r="E17">
        <f t="shared" si="1"/>
        <v>398000000000</v>
      </c>
      <c r="F17" s="1">
        <v>136000</v>
      </c>
      <c r="G17" s="1">
        <v>136000</v>
      </c>
      <c r="H17" s="1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445D-D0B8-BB4A-A146-1A4739BEB26C}">
  <dimension ref="A1:W26"/>
  <sheetViews>
    <sheetView tabSelected="1" topLeftCell="N1" workbookViewId="0">
      <selection activeCell="E21" sqref="E21"/>
    </sheetView>
  </sheetViews>
  <sheetFormatPr baseColWidth="10" defaultRowHeight="16" x14ac:dyDescent="0.2"/>
  <cols>
    <col min="2" max="2" width="21.83203125" bestFit="1" customWidth="1"/>
    <col min="3" max="3" width="24.6640625" bestFit="1" customWidth="1"/>
    <col min="4" max="4" width="20.33203125" style="1" bestFit="1" customWidth="1"/>
    <col min="5" max="5" width="23.33203125" bestFit="1" customWidth="1"/>
    <col min="6" max="6" width="18.6640625" bestFit="1" customWidth="1"/>
    <col min="7" max="7" width="17.33203125" bestFit="1" customWidth="1"/>
    <col min="8" max="8" width="32.5" bestFit="1" customWidth="1"/>
    <col min="9" max="9" width="32.5" customWidth="1"/>
    <col min="10" max="10" width="24" bestFit="1" customWidth="1"/>
    <col min="11" max="11" width="27.33203125" bestFit="1" customWidth="1"/>
    <col min="12" max="12" width="27.33203125" customWidth="1"/>
    <col min="13" max="13" width="17" bestFit="1" customWidth="1"/>
    <col min="14" max="14" width="22.33203125" bestFit="1" customWidth="1"/>
    <col min="15" max="15" width="23.83203125" bestFit="1" customWidth="1"/>
    <col min="16" max="16" width="13.33203125" bestFit="1" customWidth="1"/>
    <col min="17" max="17" width="19" bestFit="1" customWidth="1"/>
    <col min="18" max="18" width="31.5" bestFit="1" customWidth="1"/>
    <col min="19" max="19" width="24.1640625" customWidth="1"/>
    <col min="20" max="20" width="23" bestFit="1" customWidth="1"/>
    <col min="21" max="21" width="28.33203125" bestFit="1" customWidth="1"/>
    <col min="22" max="22" width="22.6640625" bestFit="1" customWidth="1"/>
    <col min="23" max="23" width="28" bestFit="1" customWidth="1"/>
  </cols>
  <sheetData>
    <row r="1" spans="1:23" s="4" customFormat="1" x14ac:dyDescent="0.2">
      <c r="A1" s="4" t="s">
        <v>0</v>
      </c>
      <c r="B1" s="4" t="s">
        <v>11</v>
      </c>
      <c r="C1" s="4" t="s">
        <v>12</v>
      </c>
      <c r="D1" s="5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27</v>
      </c>
      <c r="J1" s="4" t="s">
        <v>18</v>
      </c>
      <c r="K1" s="4" t="s">
        <v>8</v>
      </c>
      <c r="L1" s="4" t="s">
        <v>23</v>
      </c>
      <c r="M1" s="4" t="s">
        <v>22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33</v>
      </c>
      <c r="S1" s="4" t="s">
        <v>38</v>
      </c>
      <c r="T1" s="4" t="s">
        <v>36</v>
      </c>
      <c r="U1" s="4" t="s">
        <v>37</v>
      </c>
      <c r="V1" s="4" t="s">
        <v>34</v>
      </c>
      <c r="W1" s="4" t="s">
        <v>35</v>
      </c>
    </row>
    <row r="2" spans="1:23" x14ac:dyDescent="0.2">
      <c r="A2">
        <v>0</v>
      </c>
      <c r="B2" s="1">
        <f>9580*(100/100)*0.3</f>
        <v>2874</v>
      </c>
      <c r="C2" s="1">
        <f>1320*100*(GSCENARIO!C2/100)^(1/2)</f>
        <v>328942.30497155577</v>
      </c>
      <c r="D2" s="1">
        <f>17600000*0.3</f>
        <v>5280000</v>
      </c>
      <c r="E2" s="1">
        <f>56400*SQRT(GSCENARIO!D2)</f>
        <v>1486864889.6251466</v>
      </c>
      <c r="F2" s="1">
        <f>102*(100*GSCENARIO!F2)^(1/2) / (100*0.3)</f>
        <v>12538.580461918327</v>
      </c>
      <c r="G2" s="1">
        <f>(2.38/0.3)*GSCENARIO!H2^(1/2)</f>
        <v>14455.221278908954</v>
      </c>
      <c r="H2" s="1">
        <f>0.00000291*GSCENARIO!D2*GSCENARIO!H2^(-3/2) *Derived!M2</f>
        <v>1.5572568255799445E-6</v>
      </c>
      <c r="I2" s="1">
        <f>0.000000048*(100)^4 * GSCENARIO!C2*Derived!M2*(GSCENARIO!F2^3 * 100)^(-1/2)</f>
        <v>2.7683057199453984E-5</v>
      </c>
      <c r="J2" s="1">
        <f>GSCENARIO!E2*(4*PI()*(0.0000000000001)^2)*41900000*GSCENARIO!H2^(1/2)</f>
        <v>3.818352342718101E-3</v>
      </c>
      <c r="K2" s="1">
        <f>GSCENARIO!E2*(4*PI()*(0.0000000000001)^2)*979000*(GSCENARIO!F2/100)^(1/2)</f>
        <v>1.8056978547524346E-6</v>
      </c>
      <c r="L2" s="1">
        <f>743*(GSCENARIO!H2/GSCENARIO!D2)^(1/2)</f>
        <v>51.352956665350646</v>
      </c>
      <c r="M2" s="1">
        <f>LOG(L2/(GSCENARIO!D2)^(-1/3))</f>
        <v>4.6578937215142409</v>
      </c>
      <c r="N2" s="1">
        <f>41900000*GSCENARIO!H2^(1/2)</f>
        <v>76345433393.229218</v>
      </c>
      <c r="O2" s="1">
        <f>979000*(GSCENARIO!F2/100)^(1/2)</f>
        <v>36103736.094758943</v>
      </c>
      <c r="P2" s="1">
        <f>218000000000*0.3*(100*GSCENARIO!B2)^(-1/2)</f>
        <v>292477.6914569725</v>
      </c>
      <c r="Q2" s="1">
        <f>0.0000000000403*GSCENARIO!D2*GSCENARIO!H2/(0.3)^2</f>
        <v>1033202.4444444445</v>
      </c>
      <c r="R2" s="1">
        <f>N2/J2</f>
        <v>19994339584408.961</v>
      </c>
      <c r="S2" s="1">
        <f>O2/K2</f>
        <v>19994339584408.961</v>
      </c>
      <c r="T2" s="1">
        <f>(1/3)*S2*O2</f>
        <v>2.4062345324816443E+20</v>
      </c>
      <c r="U2" s="1">
        <f>(F2^2)*K2</f>
        <v>283.88459393275878</v>
      </c>
      <c r="V2" s="1">
        <f>(200000000)*(10000000)/T2</f>
        <v>8.3117417400594005E-6</v>
      </c>
      <c r="W2" s="1">
        <f>(200000000)*(10000000)/U2</f>
        <v>7045116370329.4238</v>
      </c>
    </row>
    <row r="3" spans="1:23" x14ac:dyDescent="0.2">
      <c r="A3">
        <v>0.01</v>
      </c>
      <c r="B3" s="1">
        <f t="shared" ref="B3:B17" si="0">9580*(100/100)*0.3</f>
        <v>2874</v>
      </c>
      <c r="C3" s="1">
        <f>1320*100*(GSCENARIO!C3/100)^(1/2)</f>
        <v>328942.30497155577</v>
      </c>
      <c r="D3" s="1">
        <f t="shared" ref="D3:D17" si="1">17600000*0.3</f>
        <v>5280000</v>
      </c>
      <c r="E3" s="1">
        <f>56400*SQRT(GSCENARIO!D3)</f>
        <v>1783524600.3349659</v>
      </c>
      <c r="F3" s="1">
        <f>102*(100*GSCENARIO!F3)^(1/2) / (100*0.3)</f>
        <v>12538.580461918327</v>
      </c>
      <c r="G3" s="1">
        <f>(2.38/0.3)*GSCENARIO!H3^(1/2)</f>
        <v>4424.2116686353165</v>
      </c>
      <c r="H3" s="1">
        <f>0.00000291*GSCENARIO!D3*GSCENARIO!H3^(-3/2) *Derived!M3</f>
        <v>6.9083160293033054E-5</v>
      </c>
      <c r="I3" s="1">
        <f>0.000000048*(100)^4 * GSCENARIO!C3*Derived!M3*(GSCENARIO!F3^3 * 100)^(-1/2)</f>
        <v>2.4470580176795818E-5</v>
      </c>
      <c r="J3" s="1">
        <f>GSCENARIO!E3*(4*PI()*(0.0000000000001)^2)*41900000*GSCENARIO!H3^(1/2)</f>
        <v>1.1686572390463938E-3</v>
      </c>
      <c r="K3" s="1">
        <f>GSCENARIO!E3*(4*PI()*(0.0000000000001)^2)*979000*(GSCENARIO!F3/100)^(1/2)</f>
        <v>1.8056978547524346E-6</v>
      </c>
      <c r="L3" s="1">
        <f>743*(GSCENARIO!H3/GSCENARIO!D3)^(1/2)</f>
        <v>13.102947721791461</v>
      </c>
      <c r="M3" s="1">
        <f>LOG(L3/(GSCENARIO!D3)^(-1/3))</f>
        <v>4.117369008273994</v>
      </c>
      <c r="N3" s="1">
        <f>41900000*GSCENARIO!H3^(1/2)</f>
        <v>23366529695.271397</v>
      </c>
      <c r="O3" s="1">
        <f>979000*(GSCENARIO!F3/100)^(1/2)</f>
        <v>36103736.094758943</v>
      </c>
      <c r="P3" s="1">
        <f>218000000000*0.3*(100*GSCENARIO!B3)^(-1/2)</f>
        <v>292477.6914569725</v>
      </c>
      <c r="Q3" s="1">
        <f>0.0000000000403*GSCENARIO!D3*GSCENARIO!H3/(0.3)^2</f>
        <v>139258.88888888891</v>
      </c>
      <c r="R3" s="1">
        <f t="shared" ref="R3:R17" si="2">N3/J3</f>
        <v>19994339584408.961</v>
      </c>
      <c r="S3" s="1">
        <f t="shared" ref="S3:S17" si="3">O3/K3</f>
        <v>19994339584408.961</v>
      </c>
      <c r="T3" s="1">
        <f t="shared" ref="T3:T17" si="4">(1/3)*S3*O3</f>
        <v>2.4062345324816443E+20</v>
      </c>
      <c r="U3" s="1">
        <f t="shared" ref="U3:U17" si="5">(F3^2)*K3</f>
        <v>283.88459393275878</v>
      </c>
      <c r="V3" s="1">
        <f>(200000000)*(10000000)/T3</f>
        <v>8.3117417400594005E-6</v>
      </c>
      <c r="W3" s="1">
        <f t="shared" ref="V3:W17" si="6">(200000000)*(10000000)/U3</f>
        <v>7045116370329.4238</v>
      </c>
    </row>
    <row r="4" spans="1:23" x14ac:dyDescent="0.2">
      <c r="A4">
        <v>0.05</v>
      </c>
      <c r="B4" s="1">
        <f t="shared" si="0"/>
        <v>2874</v>
      </c>
      <c r="C4" s="1">
        <f>1320*100*(GSCENARIO!C4/100)^(1/2)</f>
        <v>328942.30497155577</v>
      </c>
      <c r="D4" s="1">
        <f t="shared" si="1"/>
        <v>5280000</v>
      </c>
      <c r="E4" s="1">
        <f>56400*SQRT(GSCENARIO!D4)</f>
        <v>1783524600.3349659</v>
      </c>
      <c r="F4" s="1">
        <f>102*(100*GSCENARIO!F4)^(1/2) / (100*0.3)</f>
        <v>12538.580461918327</v>
      </c>
      <c r="G4" s="1">
        <f>(2.38/0.3)*GSCENARIO!H4^(1/2)</f>
        <v>4286.9372646577312</v>
      </c>
      <c r="H4" s="1">
        <f>0.00000291*GSCENARIO!D4*GSCENARIO!H4^(-3/2) *Derived!M4</f>
        <v>7.5681934555976439E-5</v>
      </c>
      <c r="I4" s="1">
        <f>0.000000048*(100)^4 * GSCENARIO!C4*Derived!M4*(GSCENARIO!F4^3 * 100)^(-1/2)</f>
        <v>2.4389224312527926E-5</v>
      </c>
      <c r="J4" s="1">
        <f>GSCENARIO!E4*(4*PI()*(0.0000000000001)^2)*41900000*GSCENARIO!H4^(1/2)</f>
        <v>1.1323961516573112E-3</v>
      </c>
      <c r="K4" s="1">
        <f>GSCENARIO!E4*(4*PI()*(0.0000000000001)^2)*979000*(GSCENARIO!F4/100)^(1/2)</f>
        <v>1.8056978547524346E-6</v>
      </c>
      <c r="L4" s="1">
        <f>743*(GSCENARIO!H4/GSCENARIO!D4)^(1/2)</f>
        <v>12.696389565541851</v>
      </c>
      <c r="M4" s="1">
        <f>LOG(L4/(GSCENARIO!D4)^(-1/3))</f>
        <v>4.1036802394847847</v>
      </c>
      <c r="N4" s="1">
        <f>41900000*GSCENARIO!H4^(1/2)</f>
        <v>22641513200.314152</v>
      </c>
      <c r="O4" s="1">
        <f>979000*(GSCENARIO!F4/100)^(1/2)</f>
        <v>36103736.094758943</v>
      </c>
      <c r="P4" s="1">
        <f>218000000000*0.3*(100*GSCENARIO!B4)^(-1/2)</f>
        <v>292477.6914569725</v>
      </c>
      <c r="Q4" s="1">
        <f>0.0000000000403*GSCENARIO!D4*GSCENARIO!H4/(0.3)^2</f>
        <v>130751.11111111112</v>
      </c>
      <c r="R4" s="1">
        <f t="shared" si="2"/>
        <v>19994339584408.961</v>
      </c>
      <c r="S4" s="1">
        <f t="shared" si="3"/>
        <v>19994339584408.961</v>
      </c>
      <c r="T4" s="1">
        <f t="shared" si="4"/>
        <v>2.4062345324816443E+20</v>
      </c>
      <c r="U4" s="1">
        <f t="shared" si="5"/>
        <v>283.88459393275878</v>
      </c>
      <c r="V4" s="1">
        <f t="shared" si="6"/>
        <v>8.3117417400594005E-6</v>
      </c>
      <c r="W4" s="1">
        <f t="shared" si="6"/>
        <v>7045116370329.4238</v>
      </c>
    </row>
    <row r="5" spans="1:23" x14ac:dyDescent="0.2">
      <c r="A5">
        <v>0.1</v>
      </c>
      <c r="B5" s="1">
        <f t="shared" si="0"/>
        <v>2874</v>
      </c>
      <c r="C5" s="1">
        <f>1320*100*(GSCENARIO!C5/100)^(1/2)</f>
        <v>328942.30497155577</v>
      </c>
      <c r="D5" s="1">
        <f t="shared" si="1"/>
        <v>5280000</v>
      </c>
      <c r="E5" s="1">
        <f>56400*SQRT(GSCENARIO!D5)</f>
        <v>1783524600.3349659</v>
      </c>
      <c r="F5" s="1">
        <f>102*(100*GSCENARIO!F5)^(1/2) / (100*0.3)</f>
        <v>12538.580461918327</v>
      </c>
      <c r="G5" s="1">
        <f>(2.38/0.3)*GSCENARIO!H5^(1/2)</f>
        <v>4137.5204598352811</v>
      </c>
      <c r="H5" s="1">
        <f>0.00000291*GSCENARIO!D5*GSCENARIO!H5^(-3/2) *Derived!M5</f>
        <v>8.386476799360504E-5</v>
      </c>
      <c r="I5" s="1">
        <f>0.000000048*(100)^4 * GSCENARIO!C5*Derived!M5*(GSCENARIO!F5^3 * 100)^(-1/2)</f>
        <v>2.4297656715690239E-5</v>
      </c>
      <c r="J5" s="1">
        <f>GSCENARIO!E5*(4*PI()*(0.0000000000001)^2)*41900000*GSCENARIO!H5^(1/2)</f>
        <v>1.0929276443458606E-3</v>
      </c>
      <c r="K5" s="1">
        <f>GSCENARIO!E5*(4*PI()*(0.0000000000001)^2)*979000*(GSCENARIO!F5/100)^(1/2)</f>
        <v>1.8056978547524346E-6</v>
      </c>
      <c r="L5" s="1">
        <f>743*(GSCENARIO!H5/GSCENARIO!D5)^(1/2)</f>
        <v>12.253869919335687</v>
      </c>
      <c r="M5" s="1">
        <f>LOG(L5/(GSCENARIO!D5)^(-1/3))</f>
        <v>4.0882732657776746</v>
      </c>
      <c r="N5" s="1">
        <f>41900000*GSCENARIO!H5^(1/2)</f>
        <v>21852366462.239277</v>
      </c>
      <c r="O5" s="1">
        <f>979000*(GSCENARIO!F5/100)^(1/2)</f>
        <v>36103736.094758943</v>
      </c>
      <c r="P5" s="1">
        <f>218000000000*0.3*(100*GSCENARIO!B5)^(-1/2)</f>
        <v>292477.6914569725</v>
      </c>
      <c r="Q5" s="1">
        <f>0.0000000000403*GSCENARIO!D5*GSCENARIO!H5/(0.3)^2</f>
        <v>121795.55555555556</v>
      </c>
      <c r="R5" s="1">
        <f t="shared" si="2"/>
        <v>19994339584408.961</v>
      </c>
      <c r="S5" s="1">
        <f t="shared" si="3"/>
        <v>19994339584408.961</v>
      </c>
      <c r="T5" s="1">
        <f t="shared" si="4"/>
        <v>2.4062345324816443E+20</v>
      </c>
      <c r="U5" s="1">
        <f t="shared" si="5"/>
        <v>283.88459393275878</v>
      </c>
      <c r="V5" s="1">
        <f t="shared" si="6"/>
        <v>8.3117417400594005E-6</v>
      </c>
      <c r="W5" s="1">
        <f t="shared" si="6"/>
        <v>7045116370329.4238</v>
      </c>
    </row>
    <row r="6" spans="1:23" x14ac:dyDescent="0.2">
      <c r="A6">
        <v>0.3</v>
      </c>
      <c r="B6" s="1">
        <f t="shared" si="0"/>
        <v>2874</v>
      </c>
      <c r="C6" s="1">
        <f>1320*100*(GSCENARIO!C6/100)^(1/2)</f>
        <v>328942.30497155577</v>
      </c>
      <c r="D6" s="1">
        <f t="shared" si="1"/>
        <v>5280000</v>
      </c>
      <c r="E6" s="1">
        <f>56400*SQRT(GSCENARIO!D6)</f>
        <v>1783524600.3349659</v>
      </c>
      <c r="F6" s="1">
        <f>102*(100*GSCENARIO!F6)^(1/2) / (100*0.3)</f>
        <v>12538.580461918327</v>
      </c>
      <c r="G6" s="1">
        <f>(2.38/0.3)*GSCENARIO!H6^(1/2)</f>
        <v>4045.2221474502762</v>
      </c>
      <c r="H6" s="1">
        <f>0.00000291*GSCENARIO!D6*GSCENARIO!H6^(-3/2) *Derived!M6</f>
        <v>8.9522215894059724E-5</v>
      </c>
      <c r="I6" s="1">
        <f>0.000000048*(100)^4 * GSCENARIO!C6*Derived!M6*(GSCENARIO!F6^3 * 100)^(-1/2)</f>
        <v>2.4239426007585835E-5</v>
      </c>
      <c r="J6" s="1">
        <f>GSCENARIO!E6*(4*PI()*(0.0000000000001)^2)*41900000*GSCENARIO!H6^(1/2)</f>
        <v>1.0685470091051931E-3</v>
      </c>
      <c r="K6" s="1">
        <f>GSCENARIO!E6*(4*PI()*(0.0000000000001)^2)*979000*(GSCENARIO!F6/100)^(1/2)</f>
        <v>1.8056978547524346E-6</v>
      </c>
      <c r="L6" s="1">
        <f>743*(GSCENARIO!H6/GSCENARIO!D6)^(1/2)</f>
        <v>11.980515013971644</v>
      </c>
      <c r="M6" s="1">
        <f>LOG(L6/(GSCENARIO!D6)^(-1/3))</f>
        <v>4.0784754877459841</v>
      </c>
      <c r="N6" s="1">
        <f>41900000*GSCENARIO!H6^(1/2)</f>
        <v>21364891761.95377</v>
      </c>
      <c r="O6" s="1">
        <f>979000*(GSCENARIO!F6/100)^(1/2)</f>
        <v>36103736.094758943</v>
      </c>
      <c r="P6" s="1">
        <f>218000000000*0.3*(100*GSCENARIO!B6)^(-1/2)</f>
        <v>292477.6914569725</v>
      </c>
      <c r="Q6" s="1">
        <f>0.0000000000403*GSCENARIO!D6*GSCENARIO!H6/(0.3)^2</f>
        <v>116422.22222222223</v>
      </c>
      <c r="R6" s="1">
        <f t="shared" si="2"/>
        <v>19994339584408.965</v>
      </c>
      <c r="S6" s="1">
        <f t="shared" si="3"/>
        <v>19994339584408.961</v>
      </c>
      <c r="T6" s="1">
        <f t="shared" si="4"/>
        <v>2.4062345324816443E+20</v>
      </c>
      <c r="U6" s="1">
        <f t="shared" si="5"/>
        <v>283.88459393275878</v>
      </c>
      <c r="V6" s="1">
        <f t="shared" si="6"/>
        <v>8.3117417400594005E-6</v>
      </c>
      <c r="W6" s="1">
        <f t="shared" si="6"/>
        <v>7045116370329.4238</v>
      </c>
    </row>
    <row r="7" spans="1:23" x14ac:dyDescent="0.2">
      <c r="A7">
        <v>0.5</v>
      </c>
      <c r="B7" s="1">
        <f t="shared" si="0"/>
        <v>2874</v>
      </c>
      <c r="C7" s="1">
        <f>1320*100*(GSCENARIO!C7/100)^(1/2)</f>
        <v>328942.30497155577</v>
      </c>
      <c r="D7" s="1">
        <f t="shared" si="1"/>
        <v>5280000</v>
      </c>
      <c r="E7" s="1">
        <f>56400*SQRT(GSCENARIO!D7)</f>
        <v>1783524600.3349659</v>
      </c>
      <c r="F7" s="1">
        <f>102*(100*GSCENARIO!F7)^(1/2) / (100*0.3)</f>
        <v>12538.580461918327</v>
      </c>
      <c r="G7" s="1">
        <f>(2.38/0.3)*GSCENARIO!H7^(1/2)</f>
        <v>3910.7390605868864</v>
      </c>
      <c r="H7" s="1">
        <f>0.00000291*GSCENARIO!D7*GSCENARIO!H7^(-3/2) *Derived!M7</f>
        <v>9.8722249872866926E-5</v>
      </c>
      <c r="I7" s="1">
        <f>0.000000048*(100)^4 * GSCENARIO!C7*Derived!M7*(GSCENARIO!F7^3 * 100)^(-1/2)</f>
        <v>2.4152157979562817E-5</v>
      </c>
      <c r="J7" s="1">
        <f>GSCENARIO!E7*(4*PI()*(0.0000000000001)^2)*41900000*GSCENARIO!H7^(1/2)</f>
        <v>1.0330232492212806E-3</v>
      </c>
      <c r="K7" s="1">
        <f>GSCENARIO!E7*(4*PI()*(0.0000000000001)^2)*979000*(GSCENARIO!F7/100)^(1/2)</f>
        <v>1.8056978547524346E-6</v>
      </c>
      <c r="L7" s="1">
        <f>743*(GSCENARIO!H7/GSCENARIO!D7)^(1/2)</f>
        <v>11.582223750213084</v>
      </c>
      <c r="M7" s="1">
        <f>LOG(L7/(GSCENARIO!D7)^(-1/3))</f>
        <v>4.0637919505597315</v>
      </c>
      <c r="N7" s="1">
        <f>41900000*GSCENARIO!H7^(1/2)</f>
        <v>20654617643.519814</v>
      </c>
      <c r="O7" s="1">
        <f>979000*(GSCENARIO!F7/100)^(1/2)</f>
        <v>36103736.094758943</v>
      </c>
      <c r="P7" s="1">
        <f>218000000000*0.3*(100*GSCENARIO!B7)^(-1/2)</f>
        <v>292477.6914569725</v>
      </c>
      <c r="Q7" s="1">
        <f>0.0000000000403*GSCENARIO!D7*GSCENARIO!H7/(0.3)^2</f>
        <v>108810.00000000001</v>
      </c>
      <c r="R7" s="1">
        <f t="shared" si="2"/>
        <v>19994339584408.961</v>
      </c>
      <c r="S7" s="1">
        <f t="shared" si="3"/>
        <v>19994339584408.961</v>
      </c>
      <c r="T7" s="1">
        <f t="shared" si="4"/>
        <v>2.4062345324816443E+20</v>
      </c>
      <c r="U7" s="1">
        <f t="shared" si="5"/>
        <v>283.88459393275878</v>
      </c>
      <c r="V7" s="1">
        <f t="shared" si="6"/>
        <v>8.3117417400594005E-6</v>
      </c>
      <c r="W7" s="1">
        <f t="shared" si="6"/>
        <v>7045116370329.4238</v>
      </c>
    </row>
    <row r="8" spans="1:23" x14ac:dyDescent="0.2">
      <c r="A8">
        <v>1</v>
      </c>
      <c r="B8" s="1">
        <f t="shared" si="0"/>
        <v>2874</v>
      </c>
      <c r="C8" s="1">
        <f>1320*100*(GSCENARIO!C8/100)^(1/2)</f>
        <v>330791.05187413999</v>
      </c>
      <c r="D8" s="1">
        <f t="shared" si="1"/>
        <v>5280000</v>
      </c>
      <c r="E8" s="1">
        <f>56400*SQRT(GSCENARIO!D8)</f>
        <v>1783524600.3349659</v>
      </c>
      <c r="F8" s="1">
        <f>102*(100*GSCENARIO!F8)^(1/2) / (100*0.3)</f>
        <v>12538.580461918327</v>
      </c>
      <c r="G8" s="1">
        <f>(2.38/0.3)*GSCENARIO!H8^(1/2)</f>
        <v>3721.063169459921</v>
      </c>
      <c r="H8" s="1">
        <f>0.00000291*GSCENARIO!D8*GSCENARIO!H8^(-3/2) *Derived!M8</f>
        <v>1.1399263219997694E-4</v>
      </c>
      <c r="I8" s="1">
        <f>0.000000048*(100)^4 * GSCENARIO!C8*Derived!M8*(GSCENARIO!F8^3 * 100)^(-1/2)</f>
        <v>2.4294632438142253E-5</v>
      </c>
      <c r="J8" s="1">
        <f>GSCENARIO!E8*(4*PI()*(0.0000000000001)^2)*41900000*GSCENARIO!H8^(1/2)</f>
        <v>9.8292028854931116E-4</v>
      </c>
      <c r="K8" s="1">
        <f>GSCENARIO!E8*(4*PI()*(0.0000000000001)^2)*979000*(GSCENARIO!F8/100)^(1/2)</f>
        <v>1.8056978547524346E-6</v>
      </c>
      <c r="L8" s="1">
        <f>743*(GSCENARIO!H8/GSCENARIO!D8)^(1/2)</f>
        <v>11.020470951824155</v>
      </c>
      <c r="M8" s="1">
        <f>LOG(L8/(GSCENARIO!D8)^(-1/3))</f>
        <v>4.0422001541716783</v>
      </c>
      <c r="N8" s="1">
        <f>41900000*GSCENARIO!H8^(1/2)</f>
        <v>19652842033.660172</v>
      </c>
      <c r="O8" s="1">
        <f>979000*(GSCENARIO!F8/100)^(1/2)</f>
        <v>36103736.094758943</v>
      </c>
      <c r="P8" s="1">
        <f>218000000000*0.3*(100*GSCENARIO!B8)^(-1/2)</f>
        <v>292477.6914569725</v>
      </c>
      <c r="Q8" s="1">
        <f>0.0000000000403*GSCENARIO!D8*GSCENARIO!H8/(0.3)^2</f>
        <v>98511.111111111109</v>
      </c>
      <c r="R8" s="1">
        <f t="shared" si="2"/>
        <v>19994339584408.961</v>
      </c>
      <c r="S8" s="1">
        <f t="shared" si="3"/>
        <v>19994339584408.961</v>
      </c>
      <c r="T8" s="1">
        <f t="shared" si="4"/>
        <v>2.4062345324816443E+20</v>
      </c>
      <c r="U8" s="1">
        <f t="shared" si="5"/>
        <v>283.88459393275878</v>
      </c>
      <c r="V8" s="1">
        <f t="shared" si="6"/>
        <v>8.3117417400594005E-6</v>
      </c>
      <c r="W8" s="1">
        <f t="shared" si="6"/>
        <v>7045116370329.4238</v>
      </c>
    </row>
    <row r="9" spans="1:23" x14ac:dyDescent="0.2">
      <c r="A9">
        <v>2</v>
      </c>
      <c r="B9" s="1">
        <f t="shared" si="0"/>
        <v>2874</v>
      </c>
      <c r="C9" s="1">
        <f>1320*100*(GSCENARIO!C9/100)^(1/2)</f>
        <v>334197.30699094513</v>
      </c>
      <c r="D9" s="1">
        <f t="shared" si="1"/>
        <v>5280000</v>
      </c>
      <c r="E9" s="1">
        <f>56400*SQRT(GSCENARIO!D9)</f>
        <v>1783524600.3349659</v>
      </c>
      <c r="F9" s="1">
        <f>102*(100*GSCENARIO!F9)^(1/2) / (100*0.3)</f>
        <v>12538.580461918327</v>
      </c>
      <c r="G9" s="1">
        <f>(2.38/0.3)*GSCENARIO!H9^(1/2)</f>
        <v>2508.7402770669146</v>
      </c>
      <c r="H9" s="1">
        <f>0.00000291*GSCENARIO!D9*GSCENARIO!H9^(-3/2) *Derived!M9</f>
        <v>3.5621721615183795E-4</v>
      </c>
      <c r="I9" s="1">
        <f>0.000000048*(100)^4 * GSCENARIO!C9*Derived!M9*(GSCENARIO!F9^3 * 100)^(-1/2)</f>
        <v>2.3747222459416148E-5</v>
      </c>
      <c r="J9" s="1">
        <f>GSCENARIO!E9*(4*PI()*(0.0000000000001)^2)*41900000*GSCENARIO!H9^(1/2)</f>
        <v>6.6268472335227584E-4</v>
      </c>
      <c r="K9" s="1">
        <f>GSCENARIO!E9*(4*PI()*(0.0000000000001)^2)*979000*(GSCENARIO!F9/100)^(1/2)</f>
        <v>1.8056978547524346E-6</v>
      </c>
      <c r="L9" s="1">
        <f>743*(GSCENARIO!H9/GSCENARIO!D9)^(1/2)</f>
        <v>7.43</v>
      </c>
      <c r="M9" s="1">
        <f>LOG(L9/(GSCENARIO!D9)^(-1/3))</f>
        <v>3.870988813760575</v>
      </c>
      <c r="N9" s="1">
        <f>41900000*GSCENARIO!H9^(1/2)</f>
        <v>13249943396.105511</v>
      </c>
      <c r="O9" s="1">
        <f>979000*(GSCENARIO!F9/100)^(1/2)</f>
        <v>36103736.094758943</v>
      </c>
      <c r="P9" s="1">
        <f>218000000000*0.3*(100*GSCENARIO!B9)^(-1/2)</f>
        <v>292477.6914569725</v>
      </c>
      <c r="Q9" s="1">
        <f>0.0000000000403*GSCENARIO!D9*GSCENARIO!H9/(0.3)^2</f>
        <v>44777.777777777781</v>
      </c>
      <c r="R9" s="1">
        <f t="shared" si="2"/>
        <v>19994339584408.961</v>
      </c>
      <c r="S9" s="1">
        <f t="shared" si="3"/>
        <v>19994339584408.961</v>
      </c>
      <c r="T9" s="1">
        <f t="shared" si="4"/>
        <v>2.4062345324816443E+20</v>
      </c>
      <c r="U9" s="1">
        <f t="shared" si="5"/>
        <v>283.88459393275878</v>
      </c>
      <c r="V9" s="1">
        <f t="shared" si="6"/>
        <v>8.3117417400594005E-6</v>
      </c>
      <c r="W9" s="1">
        <f t="shared" si="6"/>
        <v>7045116370329.4238</v>
      </c>
    </row>
    <row r="10" spans="1:23" x14ac:dyDescent="0.2">
      <c r="A10">
        <v>3</v>
      </c>
      <c r="B10" s="1">
        <f t="shared" si="0"/>
        <v>2874</v>
      </c>
      <c r="C10" s="1">
        <f>1320*100*(GSCENARIO!C10/100)^(1/2)</f>
        <v>339627.56071909121</v>
      </c>
      <c r="D10" s="1">
        <f t="shared" si="1"/>
        <v>5280000</v>
      </c>
      <c r="E10" s="1">
        <f>56400*SQRT(GSCENARIO!D10)</f>
        <v>1783524600.3349659</v>
      </c>
      <c r="F10" s="1">
        <f>102*(100*GSCENARIO!F10)^(1/2) / (100*0.3)</f>
        <v>12538.580461918327</v>
      </c>
      <c r="G10" s="1">
        <f>(2.38/0.3)*GSCENARIO!H10^(1/2)</f>
        <v>2508.7402770669146</v>
      </c>
      <c r="H10" s="1">
        <f>0.00000291*GSCENARIO!D10*GSCENARIO!H10^(-3/2) *Derived!M10</f>
        <v>3.5621721615183795E-4</v>
      </c>
      <c r="I10" s="1">
        <f>0.000000048*(100)^4 * GSCENARIO!C10*Derived!M10*(GSCENARIO!F10^3 * 100)^(-1/2)</f>
        <v>2.4525212586791717E-5</v>
      </c>
      <c r="J10" s="1">
        <f>GSCENARIO!E10*(4*PI()*(0.0000000000001)^2)*41900000*GSCENARIO!H10^(1/2)</f>
        <v>6.6268472335227584E-4</v>
      </c>
      <c r="K10" s="1">
        <f>GSCENARIO!E10*(4*PI()*(0.0000000000001)^2)*979000*(GSCENARIO!F10/100)^(1/2)</f>
        <v>1.8056978547524346E-6</v>
      </c>
      <c r="L10" s="1">
        <f>743*(GSCENARIO!H10/GSCENARIO!D10)^(1/2)</f>
        <v>7.43</v>
      </c>
      <c r="M10" s="1">
        <f>LOG(L10/(GSCENARIO!D10)^(-1/3))</f>
        <v>3.870988813760575</v>
      </c>
      <c r="N10" s="1">
        <f>41900000*GSCENARIO!H10^(1/2)</f>
        <v>13249943396.105511</v>
      </c>
      <c r="O10" s="1">
        <f>979000*(GSCENARIO!F10/100)^(1/2)</f>
        <v>36103736.094758943</v>
      </c>
      <c r="P10" s="1">
        <f>218000000000*0.3*(100*GSCENARIO!B10)^(-1/2)</f>
        <v>292477.6914569725</v>
      </c>
      <c r="Q10" s="1">
        <f>0.0000000000403*GSCENARIO!D10*GSCENARIO!H10/(0.3)^2</f>
        <v>44777.777777777781</v>
      </c>
      <c r="R10" s="1">
        <f t="shared" si="2"/>
        <v>19994339584408.961</v>
      </c>
      <c r="S10" s="1">
        <f t="shared" si="3"/>
        <v>19994339584408.961</v>
      </c>
      <c r="T10" s="1">
        <f t="shared" si="4"/>
        <v>2.4062345324816443E+20</v>
      </c>
      <c r="U10" s="1">
        <f t="shared" si="5"/>
        <v>283.88459393275878</v>
      </c>
      <c r="V10" s="1">
        <f t="shared" si="6"/>
        <v>8.3117417400594005E-6</v>
      </c>
      <c r="W10" s="1">
        <f t="shared" si="6"/>
        <v>7045116370329.4238</v>
      </c>
    </row>
    <row r="11" spans="1:23" x14ac:dyDescent="0.2">
      <c r="A11">
        <v>4</v>
      </c>
      <c r="B11" s="1">
        <f t="shared" si="0"/>
        <v>2874</v>
      </c>
      <c r="C11" s="1">
        <f>1320*100*(GSCENARIO!C11/100)^(1/2)</f>
        <v>345981.03994294256</v>
      </c>
      <c r="D11" s="1">
        <f t="shared" si="1"/>
        <v>5280000</v>
      </c>
      <c r="E11" s="1">
        <f>56400*SQRT(GSCENARIO!D11)</f>
        <v>1783524600.3349659</v>
      </c>
      <c r="F11" s="1">
        <f>102*(100*GSCENARIO!F11)^(1/2) / (100*0.3)</f>
        <v>12538.580461918327</v>
      </c>
      <c r="G11" s="1">
        <f>(2.38/0.3)*GSCENARIO!H11^(1/2)</f>
        <v>2508.7402770669146</v>
      </c>
      <c r="H11" s="1">
        <f>0.00000291*GSCENARIO!D11*GSCENARIO!H11^(-3/2) *Derived!M11</f>
        <v>3.5621721615183795E-4</v>
      </c>
      <c r="I11" s="1">
        <f>0.000000048*(100)^4 * GSCENARIO!C11*Derived!M11*(GSCENARIO!F11^3 * 100)^(-1/2)</f>
        <v>2.545139130985787E-5</v>
      </c>
      <c r="J11" s="1">
        <f>GSCENARIO!E11*(4*PI()*(0.0000000000001)^2)*41900000*GSCENARIO!H11^(1/2)</f>
        <v>6.6268472335227584E-4</v>
      </c>
      <c r="K11" s="1">
        <f>GSCENARIO!E11*(4*PI()*(0.0000000000001)^2)*979000*(GSCENARIO!F11/100)^(1/2)</f>
        <v>1.8056978547524346E-6</v>
      </c>
      <c r="L11" s="1">
        <f>743*(GSCENARIO!H11/GSCENARIO!D11)^(1/2)</f>
        <v>7.43</v>
      </c>
      <c r="M11" s="1">
        <f>LOG(L11/(GSCENARIO!D11)^(-1/3))</f>
        <v>3.870988813760575</v>
      </c>
      <c r="N11" s="1">
        <f>41900000*GSCENARIO!H11^(1/2)</f>
        <v>13249943396.105511</v>
      </c>
      <c r="O11" s="1">
        <f>979000*(GSCENARIO!F11/100)^(1/2)</f>
        <v>36103736.094758943</v>
      </c>
      <c r="P11" s="1">
        <f>218000000000*0.3*(100*GSCENARIO!B11)^(-1/2)</f>
        <v>292477.6914569725</v>
      </c>
      <c r="Q11" s="1">
        <f>0.0000000000403*GSCENARIO!D11*GSCENARIO!H11/(0.3)^2</f>
        <v>44777.777777777781</v>
      </c>
      <c r="R11" s="1">
        <f t="shared" si="2"/>
        <v>19994339584408.961</v>
      </c>
      <c r="S11" s="1">
        <f t="shared" si="3"/>
        <v>19994339584408.961</v>
      </c>
      <c r="T11" s="1">
        <f t="shared" si="4"/>
        <v>2.4062345324816443E+20</v>
      </c>
      <c r="U11" s="1">
        <f t="shared" si="5"/>
        <v>283.88459393275878</v>
      </c>
      <c r="V11" s="1">
        <f t="shared" si="6"/>
        <v>8.3117417400594005E-6</v>
      </c>
      <c r="W11" s="1">
        <f t="shared" si="6"/>
        <v>7045116370329.4238</v>
      </c>
    </row>
    <row r="12" spans="1:23" x14ac:dyDescent="0.2">
      <c r="A12">
        <v>5</v>
      </c>
      <c r="B12" s="1">
        <f t="shared" si="0"/>
        <v>2874</v>
      </c>
      <c r="C12" s="1">
        <f>1320*100*(GSCENARIO!C12/100)^(1/2)</f>
        <v>353454.49494949135</v>
      </c>
      <c r="D12" s="1">
        <f t="shared" si="1"/>
        <v>5280000</v>
      </c>
      <c r="E12" s="1">
        <f>56400*SQRT(GSCENARIO!D12)</f>
        <v>1783524600.3349659</v>
      </c>
      <c r="F12" s="1">
        <f>102*(100*GSCENARIO!F12)^(1/2) / (100*0.3)</f>
        <v>12538.580461918327</v>
      </c>
      <c r="G12" s="1">
        <f>(2.38/0.3)*GSCENARIO!H12^(1/2)</f>
        <v>2508.7402770669146</v>
      </c>
      <c r="H12" s="1">
        <f>0.00000291*GSCENARIO!D12*GSCENARIO!H12^(-3/2) *Derived!M12</f>
        <v>3.5621721615183795E-4</v>
      </c>
      <c r="I12" s="1">
        <f>0.000000048*(100)^4 * GSCENARIO!C12*Derived!M12*(GSCENARIO!F12^3 * 100)^(-1/2)</f>
        <v>2.6562805777537251E-5</v>
      </c>
      <c r="J12" s="1">
        <f>GSCENARIO!E12*(4*PI()*(0.0000000000001)^2)*41900000*GSCENARIO!H12^(1/2)</f>
        <v>6.6268472335227584E-4</v>
      </c>
      <c r="K12" s="1">
        <f>GSCENARIO!E12*(4*PI()*(0.0000000000001)^2)*979000*(GSCENARIO!F12/100)^(1/2)</f>
        <v>1.8056978547524346E-6</v>
      </c>
      <c r="L12" s="1">
        <f>743*(GSCENARIO!H12/GSCENARIO!D12)^(1/2)</f>
        <v>7.43</v>
      </c>
      <c r="M12" s="1">
        <f>LOG(L12/(GSCENARIO!D12)^(-1/3))</f>
        <v>3.870988813760575</v>
      </c>
      <c r="N12" s="1">
        <f>41900000*GSCENARIO!H12^(1/2)</f>
        <v>13249943396.105511</v>
      </c>
      <c r="O12" s="1">
        <f>979000*(GSCENARIO!F12/100)^(1/2)</f>
        <v>36103736.094758943</v>
      </c>
      <c r="P12" s="1">
        <f>218000000000*0.3*(100*GSCENARIO!B12)^(-1/2)</f>
        <v>292477.6914569725</v>
      </c>
      <c r="Q12" s="1">
        <f>0.0000000000403*GSCENARIO!D12*GSCENARIO!H12/(0.3)^2</f>
        <v>44777.777777777781</v>
      </c>
      <c r="R12" s="1">
        <f t="shared" si="2"/>
        <v>19994339584408.961</v>
      </c>
      <c r="S12" s="1">
        <f t="shared" si="3"/>
        <v>19994339584408.961</v>
      </c>
      <c r="T12" s="1">
        <f t="shared" si="4"/>
        <v>2.4062345324816443E+20</v>
      </c>
      <c r="U12" s="1">
        <f t="shared" si="5"/>
        <v>283.88459393275878</v>
      </c>
      <c r="V12" s="1">
        <f t="shared" si="6"/>
        <v>8.3117417400594005E-6</v>
      </c>
      <c r="W12" s="1">
        <f t="shared" si="6"/>
        <v>7045116370329.4238</v>
      </c>
    </row>
    <row r="13" spans="1:23" x14ac:dyDescent="0.2">
      <c r="A13">
        <v>6</v>
      </c>
      <c r="B13" s="1">
        <f t="shared" si="0"/>
        <v>2874</v>
      </c>
      <c r="C13" s="1">
        <f>1320*100*(GSCENARIO!C13/100)^(1/2)</f>
        <v>361496.88795340963</v>
      </c>
      <c r="D13" s="1">
        <f t="shared" si="1"/>
        <v>5280000</v>
      </c>
      <c r="E13" s="1">
        <f>56400*SQRT(GSCENARIO!D13)</f>
        <v>1783524600.3349659</v>
      </c>
      <c r="F13" s="1">
        <f>102*(100*GSCENARIO!F13)^(1/2) / (100*0.3)</f>
        <v>12538.580461918327</v>
      </c>
      <c r="G13" s="1">
        <f>(2.38/0.3)*GSCENARIO!H13^(1/2)</f>
        <v>2508.7402770669146</v>
      </c>
      <c r="H13" s="1">
        <f>0.00000291*GSCENARIO!D13*GSCENARIO!H13^(-3/2) *Derived!M13</f>
        <v>3.5621721615183795E-4</v>
      </c>
      <c r="I13" s="1">
        <f>0.000000048*(100)^4 * GSCENARIO!C13*Derived!M13*(GSCENARIO!F13^3 * 100)^(-1/2)</f>
        <v>2.7785361691984576E-5</v>
      </c>
      <c r="J13" s="1">
        <f>GSCENARIO!E13*(4*PI()*(0.0000000000001)^2)*41900000*GSCENARIO!H13^(1/2)</f>
        <v>6.6268472335227584E-4</v>
      </c>
      <c r="K13" s="1">
        <f>GSCENARIO!E13*(4*PI()*(0.0000000000001)^2)*979000*(GSCENARIO!F13/100)^(1/2)</f>
        <v>1.8056978547524346E-6</v>
      </c>
      <c r="L13" s="1">
        <f>743*(GSCENARIO!H13/GSCENARIO!D13)^(1/2)</f>
        <v>7.43</v>
      </c>
      <c r="M13" s="1">
        <f>LOG(L13/(GSCENARIO!D13)^(-1/3))</f>
        <v>3.870988813760575</v>
      </c>
      <c r="N13" s="1">
        <f>41900000*GSCENARIO!H13^(1/2)</f>
        <v>13249943396.105511</v>
      </c>
      <c r="O13" s="1">
        <f>979000*(GSCENARIO!F13/100)^(1/2)</f>
        <v>36103736.094758943</v>
      </c>
      <c r="P13" s="1">
        <f>218000000000*0.3*(100*GSCENARIO!B13)^(-1/2)</f>
        <v>292477.6914569725</v>
      </c>
      <c r="Q13" s="1">
        <f>0.0000000000403*GSCENARIO!D13*GSCENARIO!H13/(0.3)^2</f>
        <v>44777.777777777781</v>
      </c>
      <c r="R13" s="1">
        <f t="shared" si="2"/>
        <v>19994339584408.961</v>
      </c>
      <c r="S13" s="1">
        <f t="shared" si="3"/>
        <v>19994339584408.961</v>
      </c>
      <c r="T13" s="1">
        <f t="shared" si="4"/>
        <v>2.4062345324816443E+20</v>
      </c>
      <c r="U13" s="1">
        <f t="shared" si="5"/>
        <v>283.88459393275878</v>
      </c>
      <c r="V13" s="1">
        <f t="shared" si="6"/>
        <v>8.3117417400594005E-6</v>
      </c>
      <c r="W13" s="1">
        <f t="shared" si="6"/>
        <v>7045116370329.4238</v>
      </c>
    </row>
    <row r="14" spans="1:23" x14ac:dyDescent="0.2">
      <c r="A14">
        <v>7</v>
      </c>
      <c r="B14" s="1">
        <f t="shared" si="0"/>
        <v>2874</v>
      </c>
      <c r="C14" s="1">
        <f>1320*100*(GSCENARIO!C14/100)^(1/2)</f>
        <v>369364.21050231712</v>
      </c>
      <c r="D14" s="1">
        <f t="shared" si="1"/>
        <v>5280000</v>
      </c>
      <c r="E14" s="1">
        <f>56400*SQRT(GSCENARIO!D14)</f>
        <v>1783524600.3349659</v>
      </c>
      <c r="F14" s="1">
        <f>102*(100*GSCENARIO!F14)^(1/2) / (100*0.3)</f>
        <v>12538.580461918327</v>
      </c>
      <c r="G14" s="1">
        <f>(2.38/0.3)*GSCENARIO!H14^(1/2)</f>
        <v>2508.7402770669146</v>
      </c>
      <c r="H14" s="1">
        <f>0.00000291*GSCENARIO!D14*GSCENARIO!H14^(-3/2) *Derived!M14</f>
        <v>3.5621721615183795E-4</v>
      </c>
      <c r="I14" s="1">
        <f>0.000000048*(100)^4 * GSCENARIO!C14*Derived!M14*(GSCENARIO!F14^3 * 100)^(-1/2)</f>
        <v>2.9007917606431894E-5</v>
      </c>
      <c r="J14" s="1">
        <f>GSCENARIO!E14*(4*PI()*(0.0000000000001)^2)*41900000*GSCENARIO!H14^(1/2)</f>
        <v>6.6268472335227584E-4</v>
      </c>
      <c r="K14" s="1">
        <f>GSCENARIO!E14*(4*PI()*(0.0000000000001)^2)*979000*(GSCENARIO!F14/100)^(1/2)</f>
        <v>1.8056978547524346E-6</v>
      </c>
      <c r="L14" s="1">
        <f>743*(GSCENARIO!H14/GSCENARIO!D14)^(1/2)</f>
        <v>7.43</v>
      </c>
      <c r="M14" s="1">
        <f>LOG(L14/(GSCENARIO!D14)^(-1/3))</f>
        <v>3.870988813760575</v>
      </c>
      <c r="N14" s="1">
        <f>41900000*GSCENARIO!H14^(1/2)</f>
        <v>13249943396.105511</v>
      </c>
      <c r="O14" s="1">
        <f>979000*(GSCENARIO!F14/100)^(1/2)</f>
        <v>36103736.094758943</v>
      </c>
      <c r="P14" s="1">
        <f>218000000000*0.3*(100*GSCENARIO!B14)^(-1/2)</f>
        <v>292477.6914569725</v>
      </c>
      <c r="Q14" s="1">
        <f>0.0000000000403*GSCENARIO!D14*GSCENARIO!H14/(0.3)^2</f>
        <v>44777.777777777781</v>
      </c>
      <c r="R14" s="1">
        <f t="shared" si="2"/>
        <v>19994339584408.961</v>
      </c>
      <c r="S14" s="1">
        <f t="shared" si="3"/>
        <v>19994339584408.961</v>
      </c>
      <c r="T14" s="1">
        <f t="shared" si="4"/>
        <v>2.4062345324816443E+20</v>
      </c>
      <c r="U14" s="1">
        <f t="shared" si="5"/>
        <v>283.88459393275878</v>
      </c>
      <c r="V14" s="1">
        <f t="shared" si="6"/>
        <v>8.3117417400594005E-6</v>
      </c>
      <c r="W14" s="1">
        <f t="shared" si="6"/>
        <v>7045116370329.4238</v>
      </c>
    </row>
    <row r="15" spans="1:23" x14ac:dyDescent="0.2">
      <c r="A15">
        <v>8</v>
      </c>
      <c r="B15" s="1">
        <f t="shared" si="0"/>
        <v>2874</v>
      </c>
      <c r="C15" s="1">
        <f>1320*100*(GSCENARIO!C15/100)^(1/2)</f>
        <v>376605.04510693962</v>
      </c>
      <c r="D15" s="1">
        <f t="shared" si="1"/>
        <v>5280000</v>
      </c>
      <c r="E15" s="1">
        <f>56400*SQRT(GSCENARIO!D15)</f>
        <v>1783524600.3349659</v>
      </c>
      <c r="F15" s="1">
        <f>102*(100*GSCENARIO!F15)^(1/2) / (100*0.3)</f>
        <v>12538.580461918327</v>
      </c>
      <c r="G15" s="1">
        <f>(2.38/0.3)*GSCENARIO!H15^(1/2)</f>
        <v>2508.7402770669146</v>
      </c>
      <c r="H15" s="1">
        <f>0.00000291*GSCENARIO!D15*GSCENARIO!H15^(-3/2) *Derived!M15</f>
        <v>3.5621721615183795E-4</v>
      </c>
      <c r="I15" s="1">
        <f>0.000000048*(100)^4 * GSCENARIO!C15*Derived!M15*(GSCENARIO!F15^3 * 100)^(-1/2)</f>
        <v>3.0156379223033923E-5</v>
      </c>
      <c r="J15" s="1">
        <f>GSCENARIO!E15*(4*PI()*(0.0000000000001)^2)*41900000*GSCENARIO!H15^(1/2)</f>
        <v>6.6268472335227584E-4</v>
      </c>
      <c r="K15" s="1">
        <f>GSCENARIO!E15*(4*PI()*(0.0000000000001)^2)*979000*(GSCENARIO!F15/100)^(1/2)</f>
        <v>1.8056978547524346E-6</v>
      </c>
      <c r="L15" s="1">
        <f>743*(GSCENARIO!H15/GSCENARIO!D15)^(1/2)</f>
        <v>7.43</v>
      </c>
      <c r="M15" s="1">
        <f>LOG(L15/(GSCENARIO!D15)^(-1/3))</f>
        <v>3.870988813760575</v>
      </c>
      <c r="N15" s="1">
        <f>41900000*GSCENARIO!H15^(1/2)</f>
        <v>13249943396.105511</v>
      </c>
      <c r="O15" s="1">
        <f>979000*(GSCENARIO!F15/100)^(1/2)</f>
        <v>36103736.094758943</v>
      </c>
      <c r="P15" s="1">
        <f>218000000000*0.3*(100*GSCENARIO!B15)^(-1/2)</f>
        <v>292477.6914569725</v>
      </c>
      <c r="Q15" s="1">
        <f>0.0000000000403*GSCENARIO!D15*GSCENARIO!H15/(0.3)^2</f>
        <v>44777.777777777781</v>
      </c>
      <c r="R15" s="1">
        <f t="shared" si="2"/>
        <v>19994339584408.961</v>
      </c>
      <c r="S15" s="1">
        <f t="shared" si="3"/>
        <v>19994339584408.961</v>
      </c>
      <c r="T15" s="1">
        <f t="shared" si="4"/>
        <v>2.4062345324816443E+20</v>
      </c>
      <c r="U15" s="1">
        <f t="shared" si="5"/>
        <v>283.88459393275878</v>
      </c>
      <c r="V15" s="1">
        <f t="shared" si="6"/>
        <v>8.3117417400594005E-6</v>
      </c>
      <c r="W15" s="1">
        <f t="shared" si="6"/>
        <v>7045116370329.4238</v>
      </c>
    </row>
    <row r="16" spans="1:23" x14ac:dyDescent="0.2">
      <c r="A16">
        <v>9</v>
      </c>
      <c r="B16" s="1">
        <f t="shared" si="0"/>
        <v>2874</v>
      </c>
      <c r="C16" s="1">
        <f>1320*100*(GSCENARIO!C16/100)^(1/2)</f>
        <v>376605.04510693962</v>
      </c>
      <c r="D16" s="1">
        <f t="shared" si="1"/>
        <v>5280000</v>
      </c>
      <c r="E16" s="1">
        <f>56400*SQRT(GSCENARIO!D16)</f>
        <v>1783524600.3349659</v>
      </c>
      <c r="F16" s="1">
        <f>102*(100*GSCENARIO!F16)^(1/2) / (100*0.3)</f>
        <v>12538.580461918327</v>
      </c>
      <c r="G16" s="1">
        <f>(2.38/0.3)*GSCENARIO!H16^(1/2)</f>
        <v>2508.7402770669146</v>
      </c>
      <c r="H16" s="1">
        <f>0.00000291*GSCENARIO!D16*GSCENARIO!H16^(-3/2) *Derived!M16</f>
        <v>3.5621721615183795E-4</v>
      </c>
      <c r="I16" s="1">
        <f>0.000000048*(100)^4 * GSCENARIO!C16*Derived!M16*(GSCENARIO!F16^3 * 100)^(-1/2)</f>
        <v>3.0156379223033923E-5</v>
      </c>
      <c r="J16" s="1">
        <f>GSCENARIO!E16*(4*PI()*(0.0000000000001)^2)*41900000*GSCENARIO!H16^(1/2)</f>
        <v>6.6268472335227584E-4</v>
      </c>
      <c r="K16" s="1">
        <f>GSCENARIO!E16*(4*PI()*(0.0000000000001)^2)*979000*(GSCENARIO!F16/100)^(1/2)</f>
        <v>1.8056978547524346E-6</v>
      </c>
      <c r="L16" s="1">
        <f>743*(GSCENARIO!H16/GSCENARIO!D16)^(1/2)</f>
        <v>7.43</v>
      </c>
      <c r="M16" s="1">
        <f>LOG(L16/(GSCENARIO!D16)^(-1/3))</f>
        <v>3.870988813760575</v>
      </c>
      <c r="N16" s="1">
        <f>41900000*GSCENARIO!H16^(1/2)</f>
        <v>13249943396.105511</v>
      </c>
      <c r="O16" s="1">
        <f>979000*(GSCENARIO!F16/100)^(1/2)</f>
        <v>36103736.094758943</v>
      </c>
      <c r="P16" s="1">
        <f>218000000000*0.3*(100*GSCENARIO!B16)^(-1/2)</f>
        <v>292477.6914569725</v>
      </c>
      <c r="Q16" s="1">
        <f>0.0000000000403*GSCENARIO!D16*GSCENARIO!H16/(0.3)^2</f>
        <v>44777.777777777781</v>
      </c>
      <c r="R16" s="1">
        <f t="shared" si="2"/>
        <v>19994339584408.961</v>
      </c>
      <c r="S16" s="1">
        <f t="shared" si="3"/>
        <v>19994339584408.961</v>
      </c>
      <c r="T16" s="1">
        <f t="shared" si="4"/>
        <v>2.4062345324816443E+20</v>
      </c>
      <c r="U16" s="1">
        <f t="shared" si="5"/>
        <v>283.88459393275878</v>
      </c>
      <c r="V16" s="1">
        <f t="shared" si="6"/>
        <v>8.3117417400594005E-6</v>
      </c>
      <c r="W16" s="1">
        <f t="shared" si="6"/>
        <v>7045116370329.4238</v>
      </c>
    </row>
    <row r="17" spans="1:23" x14ac:dyDescent="0.2">
      <c r="A17">
        <v>10</v>
      </c>
      <c r="B17" s="1">
        <f t="shared" si="0"/>
        <v>2874</v>
      </c>
      <c r="C17" s="1">
        <f>1320*100*(GSCENARIO!C17/100)^(1/2)</f>
        <v>376605.04510693962</v>
      </c>
      <c r="D17" s="1">
        <f t="shared" si="1"/>
        <v>5280000</v>
      </c>
      <c r="E17" s="1">
        <f>56400*SQRT(GSCENARIO!D17)</f>
        <v>1783524600.3349659</v>
      </c>
      <c r="F17" s="1">
        <f>102*(100*GSCENARIO!F17)^(1/2) / (100*0.3)</f>
        <v>12538.580461918327</v>
      </c>
      <c r="G17" s="1">
        <f>(2.38/0.3)*GSCENARIO!H17^(1/2)</f>
        <v>2508.7402770669146</v>
      </c>
      <c r="H17" s="1">
        <f>0.00000291*GSCENARIO!D17*GSCENARIO!H17^(-3/2) *Derived!M17</f>
        <v>3.5621721615183795E-4</v>
      </c>
      <c r="I17" s="1">
        <f>0.000000048*(100)^4 * GSCENARIO!C17*Derived!M17*(GSCENARIO!F17^3 * 100)^(-1/2)</f>
        <v>3.0156379223033923E-5</v>
      </c>
      <c r="J17" s="1">
        <f>GSCENARIO!E17*(4*PI()*(0.0000000000001)^2)*41900000*GSCENARIO!H17^(1/2)</f>
        <v>6.6268472335227584E-4</v>
      </c>
      <c r="K17" s="1">
        <f>GSCENARIO!E17*(4*PI()*(0.0000000000001)^2)*979000*(GSCENARIO!F17/100)^(1/2)</f>
        <v>1.8056978547524346E-6</v>
      </c>
      <c r="L17" s="1">
        <f>743*(GSCENARIO!H17/GSCENARIO!D17)^(1/2)</f>
        <v>7.43</v>
      </c>
      <c r="M17" s="1">
        <f>LOG(L17/(GSCENARIO!D17)^(-1/3))</f>
        <v>3.870988813760575</v>
      </c>
      <c r="N17" s="1">
        <f>41900000*GSCENARIO!H17^(1/2)</f>
        <v>13249943396.105511</v>
      </c>
      <c r="O17" s="1">
        <f>979000*(GSCENARIO!F17/100)^(1/2)</f>
        <v>36103736.094758943</v>
      </c>
      <c r="P17" s="1">
        <f>218000000000*0.3*(100*GSCENARIO!B17)^(-1/2)</f>
        <v>292477.6914569725</v>
      </c>
      <c r="Q17" s="1">
        <f>0.0000000000403*GSCENARIO!D17*GSCENARIO!H17/(0.3)^2</f>
        <v>44777.777777777781</v>
      </c>
      <c r="R17" s="1">
        <f t="shared" si="2"/>
        <v>19994339584408.961</v>
      </c>
      <c r="S17" s="1">
        <f t="shared" si="3"/>
        <v>19994339584408.961</v>
      </c>
      <c r="T17" s="1">
        <f t="shared" si="4"/>
        <v>2.4062345324816443E+20</v>
      </c>
      <c r="U17" s="1">
        <f t="shared" si="5"/>
        <v>283.88459393275878</v>
      </c>
      <c r="V17" s="1">
        <f t="shared" si="6"/>
        <v>8.3117417400594005E-6</v>
      </c>
      <c r="W17" s="1">
        <f t="shared" si="6"/>
        <v>7045116370329.4238</v>
      </c>
    </row>
    <row r="19" spans="1:23" x14ac:dyDescent="0.2">
      <c r="B19" t="s">
        <v>9</v>
      </c>
      <c r="J19" t="s">
        <v>24</v>
      </c>
      <c r="L19" t="s">
        <v>26</v>
      </c>
      <c r="Q19" t="s">
        <v>32</v>
      </c>
      <c r="U19">
        <f>1/0.000927</f>
        <v>1078.7486515641856</v>
      </c>
    </row>
    <row r="20" spans="1:23" x14ac:dyDescent="0.2">
      <c r="B20" t="s">
        <v>10</v>
      </c>
      <c r="C20" s="1">
        <f>30000000000/C17</f>
        <v>79659.049685543359</v>
      </c>
      <c r="E20" s="1">
        <f>30000000000/E17</f>
        <v>16.820625851959466</v>
      </c>
      <c r="K20" t="s">
        <v>25</v>
      </c>
    </row>
    <row r="21" spans="1:23" x14ac:dyDescent="0.2">
      <c r="O21" s="1"/>
    </row>
    <row r="26" spans="1:23" x14ac:dyDescent="0.2">
      <c r="J2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C5D5D-A9DE-B143-91D8-36D34E73CFE3}">
  <dimension ref="A1:J24"/>
  <sheetViews>
    <sheetView workbookViewId="0">
      <selection activeCell="E17" sqref="E17"/>
    </sheetView>
  </sheetViews>
  <sheetFormatPr baseColWidth="10" defaultRowHeight="16" x14ac:dyDescent="0.2"/>
  <cols>
    <col min="1" max="1" width="12.1640625" bestFit="1" customWidth="1"/>
  </cols>
  <sheetData>
    <row r="1" spans="1:10" x14ac:dyDescent="0.2">
      <c r="A1" s="2">
        <v>3.8899999999999998E-12</v>
      </c>
      <c r="B1" s="2">
        <v>2.0099999999999998E-6</v>
      </c>
      <c r="C1" s="3">
        <v>16.304400000000001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10" x14ac:dyDescent="0.2">
      <c r="A2">
        <f>table2/(C1)*1000*6.022E+23</f>
        <v>143676430902087.75</v>
      </c>
      <c r="E2">
        <v>10</v>
      </c>
      <c r="F2">
        <v>3.2</v>
      </c>
      <c r="G2">
        <f>E2^2*F2</f>
        <v>320</v>
      </c>
      <c r="H2">
        <v>0</v>
      </c>
      <c r="I2">
        <f>0</f>
        <v>0</v>
      </c>
      <c r="J2" t="e">
        <f>H2/I2</f>
        <v>#DIV/0!</v>
      </c>
    </row>
    <row r="3" spans="1:10" x14ac:dyDescent="0.2">
      <c r="A3" s="1">
        <f>A2*(0.01)^3</f>
        <v>143676430.90208778</v>
      </c>
      <c r="E3">
        <v>300</v>
      </c>
      <c r="F3">
        <v>1</v>
      </c>
      <c r="G3">
        <f t="shared" ref="G3:G5" si="0">E3^2*F3</f>
        <v>90000</v>
      </c>
      <c r="H3">
        <f>G3-G2</f>
        <v>89680</v>
      </c>
      <c r="I3">
        <f>E3-E2</f>
        <v>290</v>
      </c>
      <c r="J3">
        <f t="shared" ref="J3:J5" si="1">H3/I3</f>
        <v>309.24137931034483</v>
      </c>
    </row>
    <row r="4" spans="1:10" x14ac:dyDescent="0.2">
      <c r="E4">
        <v>1000</v>
      </c>
      <c r="F4">
        <v>0.32</v>
      </c>
      <c r="G4">
        <f t="shared" si="0"/>
        <v>320000</v>
      </c>
      <c r="H4">
        <f t="shared" ref="H4:H5" si="2">G4-G3</f>
        <v>230000</v>
      </c>
      <c r="I4">
        <f t="shared" ref="I4:I5" si="3">E4-E3</f>
        <v>700</v>
      </c>
      <c r="J4">
        <f t="shared" si="1"/>
        <v>328.57142857142856</v>
      </c>
    </row>
    <row r="5" spans="1:10" x14ac:dyDescent="0.2">
      <c r="E5">
        <v>2000</v>
      </c>
      <c r="F5">
        <v>1</v>
      </c>
      <c r="G5">
        <f t="shared" si="0"/>
        <v>4000000</v>
      </c>
      <c r="H5">
        <f t="shared" si="2"/>
        <v>3680000</v>
      </c>
      <c r="I5">
        <f t="shared" si="3"/>
        <v>1000</v>
      </c>
      <c r="J5">
        <f t="shared" si="1"/>
        <v>3680</v>
      </c>
    </row>
    <row r="23" spans="2:3" x14ac:dyDescent="0.2">
      <c r="B23" t="s">
        <v>19</v>
      </c>
      <c r="C23" t="s">
        <v>19</v>
      </c>
    </row>
    <row r="24" spans="2:3" x14ac:dyDescent="0.2">
      <c r="B24" t="s">
        <v>20</v>
      </c>
      <c r="C2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GSCENARIO</vt:lpstr>
      <vt:lpstr>Derived</vt:lpstr>
      <vt:lpstr>Sheet3</vt:lpstr>
      <vt:lpstr>Sheet3!table2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Reese, Tyler Benjamin - (tylerbreese)</dc:creator>
  <cp:lastModifiedBy>Reese, Tyler Benjamin - (tylerbreese)</cp:lastModifiedBy>
  <dcterms:created xsi:type="dcterms:W3CDTF">2026-04-07T01:17:52Z</dcterms:created>
  <dcterms:modified xsi:type="dcterms:W3CDTF">2026-04-08T02:39:02Z</dcterms:modified>
</cp:coreProperties>
</file>